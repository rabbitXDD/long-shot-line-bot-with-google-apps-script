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球員名冊" sheetId="1" state="visible" r:id="rId1"/>
    <sheet xmlns:r="http://schemas.openxmlformats.org/officeDocument/2006/relationships" name="每局對戰紀錄" sheetId="2" state="visible" r:id="rId2"/>
    <sheet xmlns:r="http://schemas.openxmlformats.org/officeDocument/2006/relationships" name="季賽總排行榜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Arial"/>
      <color rgb="FF000000"/>
      <sz val="10"/>
      <scheme val="minor"/>
    </font>
    <font>
      <name val="Arial"/>
      <b val="1"/>
      <color rgb="FFFFFFFF"/>
      <sz val="10"/>
      <scheme val="minor"/>
    </font>
    <font>
      <name val="Arial"/>
      <color theme="1"/>
      <sz val="10"/>
      <scheme val="minor"/>
    </font>
  </fonts>
  <fills count="3">
    <fill>
      <patternFill/>
    </fill>
    <fill>
      <patternFill patternType="lightGray"/>
    </fill>
    <fill>
      <patternFill patternType="solid">
        <fgColor rgb="FF344479"/>
        <bgColor rgb="FF344479"/>
      </patternFill>
    </fill>
  </fills>
  <borders count="2">
    <border/>
    <border>
      <left style="thin">
        <color rgb="FFD8D8E0"/>
      </left>
      <right style="thin">
        <color rgb="FFD8D8E0"/>
      </right>
      <top style="thin">
        <color rgb="FFD8D8E0"/>
      </top>
      <bottom style="thin">
        <color rgb="FFD8D8E0"/>
      </bottom>
    </border>
  </borders>
  <cellStyleXfs count="1">
    <xf numFmtId="0" fontId="0" fillId="0" borderId="0"/>
  </cellStyleXfs>
  <cellXfs count="9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/>
    </xf>
    <xf numFmtId="3" fontId="2" fillId="0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center" vertical="center"/>
    </xf>
    <xf numFmtId="3" fontId="2" fillId="0" borderId="1" applyAlignment="1" pivotButton="0" quotePrefix="0" xfId="0">
      <alignment horizontal="right" vertical="center"/>
    </xf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E1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1.38" customWidth="1" style="8" min="1" max="1"/>
    <col width="13.88" customWidth="1" style="8" min="2" max="2"/>
    <col width="16.38" customWidth="1" style="8" min="3" max="4"/>
    <col width="22.63" customWidth="1" style="8" min="5" max="5"/>
  </cols>
  <sheetData>
    <row r="1" ht="25.5" customHeight="1" s="8">
      <c r="A1" s="1" t="inlineStr">
        <is>
          <t>球員ID</t>
        </is>
      </c>
      <c r="B1" s="1" t="inlineStr">
        <is>
          <t>姓名</t>
        </is>
      </c>
      <c r="C1" s="1" t="inlineStr">
        <is>
          <t>季初保證金繳交</t>
        </is>
      </c>
      <c r="D1" s="1" t="inlineStr">
        <is>
          <t>季打費用繳交</t>
        </is>
      </c>
      <c r="E1" s="1" t="inlineStr">
        <is>
          <t>備註</t>
        </is>
      </c>
    </row>
    <row r="2" ht="19.5" customHeight="1" s="8">
      <c r="A2" s="6" t="inlineStr">
        <is>
          <t>P01</t>
        </is>
      </c>
      <c r="B2" s="6" t="inlineStr">
        <is>
          <t>李明緯</t>
        </is>
      </c>
      <c r="C2" s="6" t="inlineStr">
        <is>
          <t>已繳 120</t>
        </is>
      </c>
      <c r="D2" s="6" t="inlineStr">
        <is>
          <t>已繳 3380</t>
        </is>
      </c>
      <c r="E2" s="4" t="n"/>
    </row>
    <row r="3" ht="19.5" customHeight="1" s="8">
      <c r="A3" s="6" t="inlineStr">
        <is>
          <t>P02</t>
        </is>
      </c>
      <c r="B3" s="6" t="inlineStr">
        <is>
          <t>齊蹦</t>
        </is>
      </c>
      <c r="C3" s="6" t="n"/>
      <c r="D3" s="6" t="n"/>
      <c r="E3" s="4" t="n"/>
    </row>
    <row r="4" ht="19.5" customHeight="1" s="8">
      <c r="A4" s="6" t="inlineStr">
        <is>
          <t>P03</t>
        </is>
      </c>
      <c r="B4" s="6" t="inlineStr">
        <is>
          <t>弈為</t>
        </is>
      </c>
      <c r="C4" s="6" t="n"/>
      <c r="D4" s="6" t="n"/>
      <c r="E4" s="4" t="n"/>
    </row>
    <row r="5">
      <c r="A5" s="6" t="inlineStr">
        <is>
          <t>P04</t>
        </is>
      </c>
      <c r="B5" s="6" t="inlineStr">
        <is>
          <t>黃君楷</t>
        </is>
      </c>
      <c r="D5" s="6" t="inlineStr">
        <is>
          <t>已繳 3380</t>
        </is>
      </c>
    </row>
    <row r="6">
      <c r="A6" s="6" t="inlineStr">
        <is>
          <t>P05</t>
        </is>
      </c>
      <c r="B6" s="6" t="inlineStr">
        <is>
          <t>劉峰瑋</t>
        </is>
      </c>
    </row>
    <row r="7">
      <c r="A7" s="6" t="inlineStr">
        <is>
          <t>P06</t>
        </is>
      </c>
      <c r="B7" s="6" t="inlineStr">
        <is>
          <t>あつま_Asma</t>
        </is>
      </c>
    </row>
    <row r="8">
      <c r="A8" s="6" t="inlineStr">
        <is>
          <t>P07</t>
        </is>
      </c>
      <c r="B8" s="6" t="inlineStr">
        <is>
          <t>物理-呂昀修</t>
        </is>
      </c>
    </row>
    <row r="9">
      <c r="A9" s="6" t="inlineStr">
        <is>
          <t>P08</t>
        </is>
      </c>
      <c r="B9" s="6" t="inlineStr">
        <is>
          <t>滕照雄</t>
        </is>
      </c>
    </row>
    <row r="10">
      <c r="A10" s="6" t="inlineStr">
        <is>
          <t>P09</t>
        </is>
      </c>
      <c r="B10" s="6" t="inlineStr">
        <is>
          <t>阿詠💤</t>
        </is>
      </c>
    </row>
    <row r="11">
      <c r="A11" s="6" t="inlineStr">
        <is>
          <t>P10</t>
        </is>
      </c>
      <c r="B11" s="6" t="inlineStr">
        <is>
          <t>曾小偉</t>
        </is>
      </c>
    </row>
    <row r="12">
      <c r="A12" s="6" t="inlineStr">
        <is>
          <t>P11</t>
        </is>
      </c>
      <c r="B12" s="6" t="inlineStr">
        <is>
          <t>蔡立群</t>
        </is>
      </c>
    </row>
    <row r="13">
      <c r="A13" s="6" t="inlineStr">
        <is>
          <t>P12</t>
        </is>
      </c>
      <c r="B13" s="6" t="inlineStr">
        <is>
          <t>Hao-銘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I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8.880000000000001" customWidth="1" style="8" min="1" max="2"/>
    <col width="11.38" customWidth="1" style="8" min="3" max="3"/>
    <col width="12.63" customWidth="1" style="8" min="4" max="4"/>
    <col width="17.63" customWidth="1" style="8" min="5" max="7"/>
    <col width="22.63" customWidth="1" style="8" min="8" max="8"/>
  </cols>
  <sheetData>
    <row r="1" ht="25.5" customHeight="1" s="8">
      <c r="A1" s="1" t="inlineStr">
        <is>
          <t>場次</t>
        </is>
      </c>
      <c r="B1" s="0" t="inlineStr">
        <is>
          <t>比賽日期</t>
        </is>
      </c>
      <c r="C1" s="1" t="inlineStr">
        <is>
          <t>局數</t>
        </is>
      </c>
      <c r="D1" s="1" t="inlineStr">
        <is>
          <t>球員ID</t>
        </is>
      </c>
      <c r="E1" s="1" t="inlineStr">
        <is>
          <t>姓名</t>
        </is>
      </c>
      <c r="F1" s="1" t="inlineStr">
        <is>
          <t>個人得分 (勝局)</t>
        </is>
      </c>
      <c r="G1" s="1" t="inlineStr">
        <is>
          <t>正負值</t>
        </is>
      </c>
      <c r="H1" s="1" t="inlineStr">
        <is>
          <t>原始比數</t>
        </is>
      </c>
      <c r="I1" s="1" t="inlineStr">
        <is>
          <t>查詢字串 (LineBot專用)</t>
        </is>
      </c>
    </row>
    <row r="2" ht="19.5" customHeight="1" s="8">
      <c r="A2" s="6" t="n">
        <v>1</v>
      </c>
      <c r="C2" s="6" t="n">
        <v>1</v>
      </c>
      <c r="D2" s="6" t="inlineStr">
        <is>
          <t>P01</t>
        </is>
      </c>
      <c r="E2" s="6" t="inlineStr">
        <is>
          <t>李明緯</t>
        </is>
      </c>
      <c r="F2" s="7" t="n">
        <v>1</v>
      </c>
      <c r="G2" s="7" t="n">
        <v>0</v>
      </c>
      <c r="H2" s="7" t="n"/>
      <c r="I2" s="6">
        <f>E2&amp;"-"&amp;A2</f>
        <v/>
      </c>
    </row>
    <row r="3" ht="19.5" customHeight="1" s="8">
      <c r="A3" s="6" t="n">
        <v>1</v>
      </c>
      <c r="C3" s="6" t="n">
        <v>1</v>
      </c>
      <c r="D3" s="6" t="inlineStr">
        <is>
          <t>P02</t>
        </is>
      </c>
      <c r="E3" s="6" t="inlineStr">
        <is>
          <t>碩碉</t>
        </is>
      </c>
      <c r="F3" s="7" t="n">
        <v>0</v>
      </c>
      <c r="G3" s="7" t="n">
        <v>1</v>
      </c>
      <c r="H3" s="7" t="n"/>
      <c r="I3" s="6">
        <f>E3&amp;"-"&amp;A3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G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8.880000000000001" customWidth="1" style="8" min="1" max="1"/>
    <col width="11.38" customWidth="1" style="8" min="2" max="2"/>
    <col width="12.63" customWidth="1" style="8" min="3" max="3"/>
    <col width="20.13" customWidth="1" style="8" min="4" max="5"/>
    <col width="12.63" customWidth="1" style="8" min="6" max="6"/>
    <col width="17.63" customWidth="1" style="8" min="7" max="7"/>
  </cols>
  <sheetData>
    <row r="1" ht="25.5" customHeight="1" s="8">
      <c r="A1" s="1" t="inlineStr">
        <is>
          <t>排名</t>
        </is>
      </c>
      <c r="B1" s="1" t="inlineStr">
        <is>
          <t>球員ID</t>
        </is>
      </c>
      <c r="C1" s="1" t="inlineStr">
        <is>
          <t>姓名</t>
        </is>
      </c>
      <c r="D1" s="1" t="inlineStr">
        <is>
          <t>累積總積分 (勝局)</t>
        </is>
      </c>
      <c r="E1" s="1" t="inlineStr">
        <is>
          <t>累積總失分 (敗局)</t>
        </is>
      </c>
      <c r="F1" s="1" t="inlineStr">
        <is>
          <t>得失分差</t>
        </is>
      </c>
      <c r="G1" s="1" t="inlineStr">
        <is>
          <t>當前 Tier</t>
        </is>
      </c>
    </row>
    <row r="2" ht="19.5" customHeight="1" s="8">
      <c r="A2" s="6" t="n">
        <v>1</v>
      </c>
      <c r="B2" s="6" t="inlineStr">
        <is>
          <t>P01</t>
        </is>
      </c>
      <c r="C2" s="6">
        <f>VLOOKUP(B2, '球員名冊'!A:B, 2, FALSE)</f>
        <v/>
      </c>
      <c r="D2" s="7">
        <f>SUMIF('每局對戰紀錄'!D:D, B2, '每局對戰紀錄'!F:F)</f>
        <v/>
      </c>
      <c r="E2" s="7">
        <f>COUNTIFS('每局對戰紀錄'!D:D, B2, '每局對戰紀錄'!F:F, 0)</f>
        <v/>
      </c>
      <c r="F2" s="7">
        <f>D2-E2</f>
        <v/>
      </c>
      <c r="G2" s="6">
        <f>IF(A2&lt;=3, "Tier 1 (頂尖組)", IF(A2&lt;=6, "Tier 2 (菁英組)", IF(A2&lt;=9, "Tier 3 (努力組)", "Tier 4 (墊底組)")))</f>
        <v/>
      </c>
    </row>
    <row r="3" ht="19.5" customHeight="1" s="8">
      <c r="A3" s="6" t="n">
        <v>2</v>
      </c>
      <c r="B3" s="6" t="inlineStr">
        <is>
          <t>P02</t>
        </is>
      </c>
      <c r="C3" s="6">
        <f>VLOOKUP(B3, '球員名冊'!A:B, 2, FALSE)</f>
        <v/>
      </c>
      <c r="D3" s="7">
        <f>SUMIF('每局對戰紀錄'!D:D, B3, '每局對戰紀錄'!F:F)</f>
        <v/>
      </c>
      <c r="E3" s="7">
        <f>COUNTIFS('每局對戰紀錄'!D:D, B3, '每局對戰紀錄'!F:F, 0)</f>
        <v/>
      </c>
      <c r="F3" s="7">
        <f>D3-E3</f>
        <v/>
      </c>
      <c r="G3" s="6">
        <f>IF(A3&lt;=3, "Tier 1 (頂尖組)", IF(A3&lt;=6, "Tier 2 (菁英組)", IF(A3&lt;=9, "Tier 3 (努力組)", "Tier 4 (墊底組)")))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2026-10-09T09:30:25Z</dcterms:created>
  <dcterms:modified xmlns:dcterms="http://purl.org/dc/terms/" xmlns:xsi="http://www.w3.org/2001/XMLSchema-instance" xsi:type="dcterms:W3CDTF">2026-10-09T09:32:15Z</dcterms:modified>
</cp:coreProperties>
</file>